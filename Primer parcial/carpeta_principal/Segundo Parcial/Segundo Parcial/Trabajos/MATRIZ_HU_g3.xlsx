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BC50A154-7944-4783-97A0-7D4F3607B0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<sst xmlns="http://schemas.openxmlformats.org/spreadsheetml/2006/main" count="120" uniqueCount="90">
  <si>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</si>
  <si>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</si>
  <si>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</si>
  <si>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</si>
  <si>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</si>
  <si>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</si>
  <si>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</si>
  <si>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</si>
  <si>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</si>
  <si>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</si>
  <si>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</si>
  <si>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</si>
  <si>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</si>
  <si>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</si>
  <si>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</si>
  <si>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</si>
  <si>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</si>
  <si>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</si>
  <si>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</si>
  <si>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</si>
  <si>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</si>
  <si>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</si>
  <si>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</si>
  <si>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</si>
  <si>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</si>
  <si>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</si>
  <si>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</si>
  <si>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</si>
  <si>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</si>
  <si>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</si>
  <si>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</si>
  <si>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</si>
  <si>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</si>
  <si>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Registrar productos embotellados</t>
  </si>
  <si>
    <t>Llevar control del stock</t>
  </si>
  <si>
    <t>Programar registro de productos (nombre, cantidad, lote y precio)</t>
  </si>
  <si>
    <t>Prueba de registro correcto de bebidas y validación de datos ingresados</t>
  </si>
  <si>
    <t>Control de Inventario de Embotelladora</t>
  </si>
  <si>
    <t>Desconocimiento del stock disponible</t>
  </si>
  <si>
    <t>Visualizar productos almacenados</t>
  </si>
  <si>
    <t>Implementar consulta de inventario</t>
  </si>
  <si>
    <t>1. Crear opción para mostrar productos.
2. Visualizar cantidades disponibles.
3. Mostrar datos organizados en consola.</t>
  </si>
  <si>
    <t>Verificar lista correcta de productos y cantidades</t>
  </si>
  <si>
    <t>Consulta rápida de inventario</t>
  </si>
  <si>
    <t>Consulta de Inventario</t>
  </si>
  <si>
    <t>Errores al actualizar cantidades</t>
  </si>
  <si>
    <t>Mantener inventario actualizado</t>
  </si>
  <si>
    <t>Programar actualización de stock</t>
  </si>
  <si>
    <t>1. Crear módulo de actualización.
2. Modificar cantidad de productos.
3. Guardar cambios automáticamente.</t>
  </si>
  <si>
    <t>Validar actualización correcta de cantidades</t>
  </si>
  <si>
    <t>Actualización segura de datos</t>
  </si>
  <si>
    <t>Actualización de Stock</t>
  </si>
  <si>
    <t>Búsqueda lenta de productos</t>
  </si>
  <si>
    <t>de productos
Acceso rápido a información</t>
  </si>
  <si>
    <t>Implementar búsqueda de bebidas</t>
  </si>
  <si>
    <t>1. Buscar productos por nombre o código.
2. Mostrar resultados encontrados.
3. Optimizar consulta en consola.</t>
  </si>
  <si>
    <t>Producto encontrado correctamente</t>
  </si>
  <si>
    <t>Mejora en rapidez de búsqueda</t>
  </si>
  <si>
    <t>Búsqueda de Productos</t>
  </si>
  <si>
    <t>Uso confuso del sistema</t>
  </si>
  <si>
    <t>Facilitar uso del sistema</t>
  </si>
  <si>
    <t>Crear menú interactivo</t>
  </si>
  <si>
    <t>1. Diseñar menú en consola.
2. Agregar opciones numeradas.
3. Facilitar navegación del usuario.</t>
  </si>
  <si>
    <t>Menú funciona correctamente</t>
  </si>
  <si>
    <t>Menú del Sistema</t>
  </si>
  <si>
    <t>Posibles fallos lógicos</t>
  </si>
  <si>
    <t>Evitar errores en el sistema</t>
  </si>
  <si>
    <t>Realizar pruebas funcionales</t>
  </si>
  <si>
    <t>1. Probar registro de bebidas.
2. Verificar consultas y actualizaciones.
3. Detectar errores del sistema.</t>
  </si>
  <si>
    <t>Sistema funciona sin errores</t>
  </si>
  <si>
    <t>Validación general del sistema</t>
  </si>
  <si>
    <t>Pruebas del Sistema</t>
  </si>
  <si>
    <t>Falta de información diaria de inventario</t>
  </si>
  <si>
    <t>Llevar control diario de productos</t>
  </si>
  <si>
    <t>Generar informe diario de la empresa</t>
  </si>
  <si>
    <t>1. Crear reporte diario de inventario.
2. Mostrar entradas y salidas de productos.
3. Guardar informe automáticamente.</t>
  </si>
  <si>
    <t>Verificar que el informe muestre correctamente los datos diarios</t>
  </si>
  <si>
    <t>Reporte diario de la embotelladora</t>
  </si>
  <si>
    <t>Informe Diario de la Empresa</t>
  </si>
  <si>
    <t>Registro</t>
  </si>
  <si>
    <t>Michael Sopalo</t>
  </si>
  <si>
    <t>Luis Yanez</t>
  </si>
  <si>
    <t>Jose Cachango</t>
  </si>
  <si>
    <t>REQ002</t>
  </si>
  <si>
    <t>REQ003</t>
  </si>
  <si>
    <t>REQ004</t>
  </si>
  <si>
    <t>REQ005</t>
  </si>
  <si>
    <t>REQ006</t>
  </si>
  <si>
    <t>REQ009</t>
  </si>
  <si>
    <t xml:space="preserve">
1. Ingresar datos del producto.
2. Guardar información en el sistema de inventario.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</si>
</sst>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rgb="FF7B7B7B"/>
      </left>
      <right/>
      <top style="thin">
        <color rgb="FF7B7B7B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0" fillId="0" borderId="7" xfId="0" applyBorder="1"/>
    <xf numFmtId="0" fontId="14" fillId="0" borderId="32" xfId="0" applyFont="1" applyBorder="1" applyAlignment="1">
      <alignment horizontal="center" vertical="center" wrapText="1"/>
    </xf>
    <xf numFmtId="0" fontId="19" fillId="0" borderId="25" xfId="0" applyFont="1" applyBorder="1" applyAlignment="1">
      <alignment vertical="center" wrapText="1"/>
    </xf>
    <xf numFmtId="0" fontId="20" fillId="0" borderId="25" xfId="0" applyFont="1" applyBorder="1" applyAlignment="1">
      <alignment horizontal="center" vertical="center" wrapText="1"/>
    </xf>
    <xf numFmtId="0" fontId="19" fillId="0" borderId="25" xfId="0" applyFont="1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0" xfId="0" applyFont="1" applyBorder="1"/>
    <xf numFmtId="0" fontId="8" fillId="0" borderId="13" xfId="0" applyFont="1" applyBorder="1"/>
    <xf numFmtId="0" fontId="0" fillId="0" borderId="0" xfId="0"/>
    <xf numFmtId="0" fontId="8" fillId="0" borderId="14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9" fillId="4" borderId="3" xfId="0" applyFont="1" applyFill="1" applyBorder="1" applyAlignment="1">
      <alignment horizontal="center" vertical="center"/>
    </xf>
    <xf numFmtId="0" fontId="8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1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E6" zoomScale="145" zoomScaleNormal="145" workbookViewId="0">
      <selection activeCell="J9" sqref="J9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58" t="s">
        <v>0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">
      <c r="B6" s="32" t="s">
        <v>15</v>
      </c>
      <c r="C6" s="30" t="s">
        <v>33</v>
      </c>
      <c r="D6" s="30" t="s">
        <v>34</v>
      </c>
      <c r="E6" s="30" t="s">
        <v>35</v>
      </c>
      <c r="F6" s="37" t="s">
        <v>16</v>
      </c>
      <c r="G6" s="30" t="s">
        <v>89</v>
      </c>
      <c r="H6" s="37" t="s">
        <v>80</v>
      </c>
      <c r="I6" s="30">
        <v>1</v>
      </c>
      <c r="J6" s="31">
        <v>46168</v>
      </c>
      <c r="K6" s="38" t="s">
        <v>17</v>
      </c>
      <c r="L6" s="40" t="s">
        <v>20</v>
      </c>
      <c r="M6" s="39" t="s">
        <v>36</v>
      </c>
      <c r="N6" s="37" t="s">
        <v>79</v>
      </c>
      <c r="O6" s="30" t="s">
        <v>37</v>
      </c>
    </row>
    <row r="7" spans="1:26" ht="103.5" customHeight="1" x14ac:dyDescent="0.2">
      <c r="B7" s="32" t="s">
        <v>83</v>
      </c>
      <c r="C7" s="33" t="s">
        <v>38</v>
      </c>
      <c r="D7" s="30" t="s">
        <v>39</v>
      </c>
      <c r="E7" s="30" t="s">
        <v>40</v>
      </c>
      <c r="F7" s="41" t="s">
        <v>16</v>
      </c>
      <c r="G7" s="30" t="s">
        <v>41</v>
      </c>
      <c r="H7" s="37" t="s">
        <v>80</v>
      </c>
      <c r="I7" s="30">
        <v>2</v>
      </c>
      <c r="J7" s="46">
        <v>46170</v>
      </c>
      <c r="K7" s="30" t="s">
        <v>17</v>
      </c>
      <c r="L7" s="30" t="s">
        <v>20</v>
      </c>
      <c r="M7" s="30" t="s">
        <v>42</v>
      </c>
      <c r="N7" s="30" t="s">
        <v>43</v>
      </c>
      <c r="O7" s="33" t="s">
        <v>44</v>
      </c>
    </row>
    <row r="8" spans="1:26" ht="99.75" customHeight="1" x14ac:dyDescent="0.2">
      <c r="A8" s="7"/>
      <c r="B8" s="54" t="s">
        <v>84</v>
      </c>
      <c r="C8" s="51" t="s">
        <v>45</v>
      </c>
      <c r="D8" s="34" t="s">
        <v>46</v>
      </c>
      <c r="E8" s="57" t="s">
        <v>47</v>
      </c>
      <c r="F8" s="36" t="s">
        <v>16</v>
      </c>
      <c r="G8" s="36" t="s">
        <v>48</v>
      </c>
      <c r="H8" s="36" t="s">
        <v>81</v>
      </c>
      <c r="I8" s="33">
        <v>1</v>
      </c>
      <c r="J8" s="47">
        <v>46177</v>
      </c>
      <c r="K8" s="30" t="s">
        <v>17</v>
      </c>
      <c r="L8" s="30" t="s">
        <v>20</v>
      </c>
      <c r="M8" s="57" t="s">
        <v>49</v>
      </c>
      <c r="N8" s="35" t="s">
        <v>50</v>
      </c>
      <c r="O8" s="41" t="s">
        <v>51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">
      <c r="B9" s="54" t="s">
        <v>85</v>
      </c>
      <c r="C9" s="51" t="s">
        <v>52</v>
      </c>
      <c r="D9" s="50" t="s">
        <v>53</v>
      </c>
      <c r="E9" s="35" t="s">
        <v>54</v>
      </c>
      <c r="F9" s="36" t="s">
        <v>16</v>
      </c>
      <c r="G9" s="35" t="s">
        <v>55</v>
      </c>
      <c r="H9" s="35" t="s">
        <v>81</v>
      </c>
      <c r="I9" s="35">
        <v>2</v>
      </c>
      <c r="J9" s="47"/>
      <c r="K9" s="30" t="s">
        <v>17</v>
      </c>
      <c r="L9" s="30" t="s">
        <v>20</v>
      </c>
      <c r="M9" s="35" t="s">
        <v>56</v>
      </c>
      <c r="N9" s="35" t="s">
        <v>57</v>
      </c>
      <c r="O9" s="53" t="s">
        <v>58</v>
      </c>
    </row>
    <row r="10" spans="1:26" ht="78" customHeight="1" x14ac:dyDescent="0.2">
      <c r="B10" s="54" t="s">
        <v>86</v>
      </c>
      <c r="C10" s="53" t="s">
        <v>59</v>
      </c>
      <c r="D10" s="50" t="s">
        <v>60</v>
      </c>
      <c r="E10" s="35" t="s">
        <v>61</v>
      </c>
      <c r="F10" s="41" t="s">
        <v>16</v>
      </c>
      <c r="G10" s="35" t="s">
        <v>62</v>
      </c>
      <c r="H10" s="35" t="s">
        <v>80</v>
      </c>
      <c r="I10" s="35">
        <v>1</v>
      </c>
      <c r="J10" s="45"/>
      <c r="K10" s="30" t="s">
        <v>17</v>
      </c>
      <c r="L10" s="30" t="s">
        <v>20</v>
      </c>
      <c r="M10" s="35" t="s">
        <v>63</v>
      </c>
      <c r="N10" s="35" t="s">
        <v>64</v>
      </c>
      <c r="O10" s="35" t="s">
        <v>64</v>
      </c>
    </row>
    <row r="11" spans="1:26" ht="66" customHeight="1" x14ac:dyDescent="0.2">
      <c r="B11" s="55" t="s">
        <v>87</v>
      </c>
      <c r="C11" s="52" t="s">
        <v>65</v>
      </c>
      <c r="D11" s="35" t="s">
        <v>66</v>
      </c>
      <c r="E11" s="35" t="s">
        <v>67</v>
      </c>
      <c r="F11" s="36" t="s">
        <v>16</v>
      </c>
      <c r="G11" s="35" t="s">
        <v>68</v>
      </c>
      <c r="H11" s="35" t="s">
        <v>82</v>
      </c>
      <c r="I11" s="35">
        <v>2</v>
      </c>
      <c r="J11" s="47"/>
      <c r="K11" s="30" t="s">
        <v>17</v>
      </c>
      <c r="L11" s="35" t="s">
        <v>20</v>
      </c>
      <c r="M11" s="35" t="s">
        <v>69</v>
      </c>
      <c r="N11" s="35" t="s">
        <v>70</v>
      </c>
      <c r="O11" s="35" t="s">
        <v>71</v>
      </c>
      <c r="P11" s="48"/>
    </row>
    <row r="12" spans="1:26" ht="99.75" customHeight="1" x14ac:dyDescent="0.2">
      <c r="B12" s="56" t="s">
        <v>88</v>
      </c>
      <c r="C12" s="52" t="s">
        <v>72</v>
      </c>
      <c r="D12" s="41" t="s">
        <v>73</v>
      </c>
      <c r="E12" s="41" t="s">
        <v>74</v>
      </c>
      <c r="F12" s="41" t="s">
        <v>16</v>
      </c>
      <c r="G12" s="41" t="s">
        <v>75</v>
      </c>
      <c r="H12" s="41" t="s">
        <v>82</v>
      </c>
      <c r="I12" s="40">
        <v>1</v>
      </c>
      <c r="J12" s="44"/>
      <c r="K12" s="30" t="s">
        <v>17</v>
      </c>
      <c r="L12" s="40" t="s">
        <v>20</v>
      </c>
      <c r="M12" s="41" t="s">
        <v>76</v>
      </c>
      <c r="N12" s="41" t="s">
        <v>77</v>
      </c>
      <c r="O12" s="41" t="s">
        <v>78</v>
      </c>
    </row>
    <row r="13" spans="1:26" ht="72" customHeight="1" x14ac:dyDescent="0.2">
      <c r="B13" s="49"/>
    </row>
    <row r="14" spans="1:26" ht="65.25" customHeight="1" x14ac:dyDescent="0.2">
      <c r="I14" s="1"/>
      <c r="J14" s="1"/>
      <c r="K14" s="9"/>
      <c r="L14" s="3"/>
    </row>
    <row r="15" spans="1:26" ht="64.5" customHeight="1" x14ac:dyDescent="0.2">
      <c r="I15" s="1"/>
      <c r="J15" s="1"/>
      <c r="K15" s="9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39.75" customHeight="1" x14ac:dyDescent="0.25">
      <c r="I18" s="1"/>
      <c r="J18" s="1"/>
      <c r="K18" s="2"/>
      <c r="L18" s="3"/>
    </row>
    <row r="19" spans="9:13" ht="19.5" customHeight="1" x14ac:dyDescent="0.25">
      <c r="I19" s="1"/>
      <c r="J19" s="1"/>
      <c r="K19" s="42" t="s">
        <v>19</v>
      </c>
      <c r="L19" s="43" t="s">
        <v>20</v>
      </c>
      <c r="M19" s="4"/>
    </row>
    <row r="20" spans="9:13" ht="19.5" customHeight="1" x14ac:dyDescent="0.25">
      <c r="I20" s="1"/>
      <c r="J20" s="1"/>
      <c r="K20" s="42" t="s">
        <v>17</v>
      </c>
      <c r="L20" s="43" t="s">
        <v>21</v>
      </c>
      <c r="M20" s="4"/>
    </row>
    <row r="21" spans="9:13" ht="19.5" customHeight="1" x14ac:dyDescent="0.25">
      <c r="I21" s="1"/>
      <c r="J21" s="1"/>
      <c r="K21" s="42" t="s">
        <v>22</v>
      </c>
      <c r="L21" s="43" t="s">
        <v>18</v>
      </c>
      <c r="M21" s="4"/>
    </row>
    <row r="22" spans="9:13" ht="19.5" customHeight="1" x14ac:dyDescent="0.25">
      <c r="I22" s="1"/>
      <c r="J22" s="1"/>
      <c r="K22" s="42"/>
      <c r="L22" s="43" t="s">
        <v>23</v>
      </c>
      <c r="M22" s="4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9.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">
      <c r="I989" s="3"/>
      <c r="J989" s="3"/>
      <c r="K989" s="8"/>
      <c r="L989" s="3"/>
    </row>
    <row r="990" spans="9:12" ht="15.75" customHeight="1" x14ac:dyDescent="0.2">
      <c r="I990" s="3"/>
      <c r="J990" s="3"/>
      <c r="K990" s="8"/>
      <c r="L990" s="3"/>
    </row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B3:O3"/>
  </mergeCells>
  <phoneticPr fontId="13" type="noConversion"/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0"/>
      <c r="D4" s="10"/>
      <c r="E4" s="10"/>
      <c r="F4" s="4"/>
    </row>
    <row r="5" spans="2:16" hidden="1" x14ac:dyDescent="0.25">
      <c r="C5" s="10"/>
      <c r="D5" s="10"/>
      <c r="E5" s="10"/>
      <c r="F5" s="4"/>
    </row>
    <row r="6" spans="2:16" ht="39.75" customHeight="1" x14ac:dyDescent="0.2">
      <c r="B6" s="83" t="s">
        <v>24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79"/>
    </row>
    <row r="7" spans="2:16" ht="9.75" customHeight="1" x14ac:dyDescent="0.2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25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">
      <c r="B9" s="28"/>
      <c r="C9" s="12" t="s">
        <v>1</v>
      </c>
      <c r="D9" s="13"/>
      <c r="E9" s="78" t="s">
        <v>25</v>
      </c>
      <c r="F9" s="79"/>
      <c r="G9" s="13"/>
      <c r="H9" s="78" t="s">
        <v>11</v>
      </c>
      <c r="I9" s="79"/>
      <c r="J9" s="14"/>
      <c r="K9" s="14"/>
      <c r="L9" s="14"/>
      <c r="M9" s="14"/>
      <c r="N9" s="14"/>
      <c r="O9" s="14"/>
      <c r="P9" s="29"/>
    </row>
    <row r="10" spans="2:16" ht="30" customHeight="1" x14ac:dyDescent="0.2">
      <c r="B10" s="28"/>
      <c r="C10" s="15" t="s">
        <v>15</v>
      </c>
      <c r="D10" s="16"/>
      <c r="E10" s="80" t="str">
        <f>VLOOKUP(C10,'Formato descripción HU'!B6:O15,5,0)</f>
        <v>Administrador</v>
      </c>
      <c r="F10" s="79"/>
      <c r="G10" s="17"/>
      <c r="H10" s="80" t="str">
        <f>VLOOKUP(C10,'Formato descripción HU'!B6:O15,11,0)</f>
        <v>No iniciado</v>
      </c>
      <c r="I10" s="79"/>
      <c r="J10" s="17"/>
      <c r="K10" s="14"/>
      <c r="L10" s="14"/>
      <c r="M10" s="14"/>
      <c r="N10" s="14"/>
      <c r="O10" s="14"/>
      <c r="P10" s="29"/>
    </row>
    <row r="11" spans="2:16" ht="9.75" customHeight="1" x14ac:dyDescent="0.2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">
      <c r="B12" s="28"/>
      <c r="C12" s="12" t="s">
        <v>26</v>
      </c>
      <c r="D12" s="16"/>
      <c r="E12" s="78" t="s">
        <v>10</v>
      </c>
      <c r="F12" s="79"/>
      <c r="G12" s="17"/>
      <c r="H12" s="78" t="s">
        <v>27</v>
      </c>
      <c r="I12" s="79"/>
      <c r="J12" s="17"/>
      <c r="K12" s="19"/>
      <c r="L12" s="19"/>
      <c r="M12" s="14"/>
      <c r="N12" s="19"/>
      <c r="O12" s="19"/>
      <c r="P12" s="29"/>
    </row>
    <row r="13" spans="2:16" ht="30" customHeight="1" x14ac:dyDescent="0.2">
      <c r="B13" s="28"/>
      <c r="C13" s="15">
        <f>VLOOKUP('Historia de Usuario'!C10,'Formato descripción HU'!B6:O15,8,0)</f>
        <v>1</v>
      </c>
      <c r="D13" s="16"/>
      <c r="E13" s="80" t="str">
        <f>VLOOKUP(C10,'Formato descripción HU'!B6:O15,10,0)</f>
        <v xml:space="preserve">Media </v>
      </c>
      <c r="F13" s="79"/>
      <c r="G13" s="17"/>
      <c r="H13" s="80" t="str">
        <f>VLOOKUP(C10,'Formato descripción HU'!B6:O15,7,0)</f>
        <v>Michael Sopalo</v>
      </c>
      <c r="I13" s="79"/>
      <c r="J13" s="17"/>
      <c r="K13" s="19"/>
      <c r="L13" s="19"/>
      <c r="M13" s="14"/>
      <c r="N13" s="19"/>
      <c r="O13" s="19"/>
      <c r="P13" s="29"/>
    </row>
    <row r="14" spans="2:16" ht="9.75" customHeight="1" x14ac:dyDescent="0.2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">
      <c r="B15" s="28"/>
      <c r="C15" s="60" t="s">
        <v>28</v>
      </c>
      <c r="D15" s="85" t="str">
        <f>VLOOKUP(C10,'Formato descripción HU'!B6:O15,3,0)</f>
        <v>Llevar control del stock</v>
      </c>
      <c r="E15" s="65"/>
      <c r="F15" s="14"/>
      <c r="G15" s="60" t="s">
        <v>29</v>
      </c>
      <c r="H15" s="85" t="str">
        <f>VLOOKUP(C10,'Formato descripción HU'!B6:O15,4,0)</f>
        <v>Programar registro de productos (nombre, cantidad, lote y precio)</v>
      </c>
      <c r="I15" s="64"/>
      <c r="J15" s="65"/>
      <c r="K15" s="14"/>
      <c r="L15" s="60" t="s">
        <v>30</v>
      </c>
      <c r="M15" s="63" t="str">
        <f>VLOOKUP(C10,'Formato descripción HU'!B6:O15,6,0)</f>
        <v xml:space="preserve">
1. Ingresar datos del producto.
2. Guardar información en el sistema de inventario.</v>
      </c>
      <c r="N15" s="64"/>
      <c r="O15" s="65"/>
      <c r="P15" s="29"/>
    </row>
    <row r="16" spans="2:16" ht="19.5" customHeight="1" x14ac:dyDescent="0.2">
      <c r="B16" s="28"/>
      <c r="C16" s="61"/>
      <c r="D16" s="66"/>
      <c r="E16" s="68"/>
      <c r="F16" s="14"/>
      <c r="G16" s="61"/>
      <c r="H16" s="66"/>
      <c r="I16" s="67"/>
      <c r="J16" s="68"/>
      <c r="K16" s="14"/>
      <c r="L16" s="61"/>
      <c r="M16" s="66"/>
      <c r="N16" s="67"/>
      <c r="O16" s="68"/>
      <c r="P16" s="29"/>
    </row>
    <row r="17" spans="2:16" ht="19.5" customHeight="1" x14ac:dyDescent="0.2">
      <c r="B17" s="28"/>
      <c r="C17" s="62"/>
      <c r="D17" s="69"/>
      <c r="E17" s="71"/>
      <c r="F17" s="14"/>
      <c r="G17" s="62"/>
      <c r="H17" s="69"/>
      <c r="I17" s="70"/>
      <c r="J17" s="71"/>
      <c r="K17" s="14"/>
      <c r="L17" s="62"/>
      <c r="M17" s="69"/>
      <c r="N17" s="70"/>
      <c r="O17" s="71"/>
      <c r="P17" s="29"/>
    </row>
    <row r="18" spans="2:16" ht="9.75" customHeight="1" x14ac:dyDescent="0.2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">
      <c r="B19" s="28"/>
      <c r="C19" s="81" t="s">
        <v>31</v>
      </c>
      <c r="D19" s="65"/>
      <c r="E19" s="72" t="str">
        <f>VLOOKUP(C10,'Formato descripción HU'!B6:O15,14,0)</f>
        <v>Control de Inventario de Embotelladora</v>
      </c>
      <c r="F19" s="73"/>
      <c r="G19" s="73"/>
      <c r="H19" s="73"/>
      <c r="I19" s="73"/>
      <c r="J19" s="73"/>
      <c r="K19" s="73"/>
      <c r="L19" s="73"/>
      <c r="M19" s="73"/>
      <c r="N19" s="73"/>
      <c r="O19" s="74"/>
      <c r="P19" s="29"/>
    </row>
    <row r="20" spans="2:16" ht="19.5" customHeight="1" x14ac:dyDescent="0.2">
      <c r="B20" s="28"/>
      <c r="C20" s="69"/>
      <c r="D20" s="71"/>
      <c r="E20" s="75"/>
      <c r="F20" s="76"/>
      <c r="G20" s="76"/>
      <c r="H20" s="76"/>
      <c r="I20" s="76"/>
      <c r="J20" s="76"/>
      <c r="K20" s="76"/>
      <c r="L20" s="76"/>
      <c r="M20" s="76"/>
      <c r="N20" s="76"/>
      <c r="O20" s="77"/>
      <c r="P20" s="29"/>
    </row>
    <row r="21" spans="2:16" ht="9.75" customHeight="1" x14ac:dyDescent="0.2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">
      <c r="B22" s="28"/>
      <c r="C22" s="82" t="s">
        <v>32</v>
      </c>
      <c r="D22" s="65"/>
      <c r="E22" s="63" t="str">
        <f>VLOOKUP(C10,'Formato descripción HU'!B6:O15,12,0)</f>
        <v>Prueba de registro correcto de bebidas y validación de datos ingresados</v>
      </c>
      <c r="F22" s="64"/>
      <c r="G22" s="64"/>
      <c r="H22" s="65"/>
      <c r="I22" s="14"/>
      <c r="J22" s="82" t="s">
        <v>13</v>
      </c>
      <c r="K22" s="65"/>
      <c r="L22" s="63" t="str">
        <f>VLOOKUP(C10,'Formato descripción HU'!B6:O15,13,0)</f>
        <v>Registro</v>
      </c>
      <c r="M22" s="64"/>
      <c r="N22" s="64"/>
      <c r="O22" s="65"/>
      <c r="P22" s="29"/>
    </row>
    <row r="23" spans="2:16" ht="19.5" customHeight="1" x14ac:dyDescent="0.2">
      <c r="B23" s="28"/>
      <c r="C23" s="66"/>
      <c r="D23" s="68"/>
      <c r="E23" s="66"/>
      <c r="F23" s="67"/>
      <c r="G23" s="67"/>
      <c r="H23" s="68"/>
      <c r="I23" s="14"/>
      <c r="J23" s="66"/>
      <c r="K23" s="68"/>
      <c r="L23" s="66"/>
      <c r="M23" s="67"/>
      <c r="N23" s="67"/>
      <c r="O23" s="68"/>
      <c r="P23" s="29"/>
    </row>
    <row r="24" spans="2:16" ht="19.5" customHeight="1" x14ac:dyDescent="0.2">
      <c r="B24" s="28"/>
      <c r="C24" s="69"/>
      <c r="D24" s="71"/>
      <c r="E24" s="69"/>
      <c r="F24" s="70"/>
      <c r="G24" s="70"/>
      <c r="H24" s="71"/>
      <c r="I24" s="14"/>
      <c r="J24" s="69"/>
      <c r="K24" s="71"/>
      <c r="L24" s="69"/>
      <c r="M24" s="70"/>
      <c r="N24" s="70"/>
      <c r="O24" s="71"/>
      <c r="P24" s="29"/>
    </row>
    <row r="25" spans="2:16" ht="9.75" customHeight="1" x14ac:dyDescent="0.2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G303</cp:lastModifiedBy>
  <cp:revision/>
  <dcterms:created xsi:type="dcterms:W3CDTF">2019-10-21T15:37:14Z</dcterms:created>
  <dcterms:modified xsi:type="dcterms:W3CDTF">2026-06-10T15:36:12Z</dcterms:modified>
  <cp:category/>
  <cp:contentStatus/>
</cp:coreProperties>
</file>